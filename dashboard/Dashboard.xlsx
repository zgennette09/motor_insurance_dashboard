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genn\Documents\InsuranceDashboard\dashboard\"/>
    </mc:Choice>
  </mc:AlternateContent>
  <xr:revisionPtr revIDLastSave="0" documentId="8_{2AEF40FB-902A-45DE-9ABC-FC11FBA98043}" xr6:coauthVersionLast="47" xr6:coauthVersionMax="47" xr10:uidLastSave="{00000000-0000-0000-0000-000000000000}"/>
  <bookViews>
    <workbookView xWindow="-120" yWindow="-120" windowWidth="29040" windowHeight="16440" xr2:uid="{9C33F545-072D-437A-A1E3-BC139DC68760}"/>
  </bookViews>
  <sheets>
    <sheet name="Dashboard" sheetId="1" r:id="rId1"/>
    <sheet name="Age_Frequency" sheetId="2" r:id="rId2"/>
    <sheet name="Age_Severity" sheetId="3" r:id="rId3"/>
    <sheet name="Regional_Risk" sheetId="4" r:id="rId4"/>
    <sheet name="Tail_Risk" sheetId="9" r:id="rId5"/>
    <sheet name="KPI_Data" sheetId="7" r:id="rId6"/>
    <sheet name="Regional_Pivot" sheetId="5" r:id="rId7"/>
  </sheets>
  <definedNames>
    <definedName name="ExternalData_1" localSheetId="1" hidden="1">Age_Frequency!$A$1:$E$5</definedName>
    <definedName name="ExternalData_1" localSheetId="2" hidden="1">Age_Severity!$A$1:$D$5</definedName>
    <definedName name="ExternalData_1" localSheetId="3" hidden="1">'Regional_Risk'!$A$1:$G$22</definedName>
    <definedName name="ExternalData_1" localSheetId="4" hidden="1">Tail_Risk!$A$1:$D$2</definedName>
  </definedName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7" l="1"/>
  <c r="B11" i="7"/>
  <c r="B3" i="7"/>
  <c r="B4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E59799-0BF7-4D5A-850E-9886C6207D81}" keepAlive="1" name="Query - age_frequency" description="Connection to the 'age_frequency' query in the workbook." type="5" refreshedVersion="8" background="1" saveData="1">
    <dbPr connection="Provider=Microsoft.Mashup.OleDb.1;Data Source=$Workbook$;Location=age_frequency;Extended Properties=&quot;&quot;" command="SELECT * FROM [age_frequency]"/>
  </connection>
  <connection id="2" xr16:uid="{42263C26-5F86-4036-B3FC-B1C09EDF8F69}" keepAlive="1" name="Query - age_severity" description="Connection to the 'age_severity' query in the workbook." type="5" refreshedVersion="8" background="1" saveData="1">
    <dbPr connection="Provider=Microsoft.Mashup.OleDb.1;Data Source=$Workbook$;Location=age_severity;Extended Properties=&quot;&quot;" command="SELECT * FROM [age_severity]"/>
  </connection>
  <connection id="3" xr16:uid="{AE9319BE-9B51-43B4-8E09-A51746F69B51}" keepAlive="1" name="Query - regional_risk" description="Connection to the 'regional_risk' query in the workbook." type="5" refreshedVersion="8" background="1" saveData="1">
    <dbPr connection="Provider=Microsoft.Mashup.OleDb.1;Data Source=$Workbook$;Location=regional_risk;Extended Properties=&quot;&quot;" command="SELECT * FROM [regional_risk]"/>
  </connection>
  <connection id="4" xr16:uid="{590EB984-F577-46F6-B681-A239B559285C}" keepAlive="1" name="Query - tail_risk" description="Connection to the 'tail_risk' query in the workbook." type="5" refreshedVersion="8" background="1" saveData="1">
    <dbPr connection="Provider=Microsoft.Mashup.OleDb.1;Data Source=$Workbook$;Location=tail_risk;Extended Properties=&quot;&quot;" command="SELECT * FROM [tail_risk]"/>
  </connection>
</connections>
</file>

<file path=xl/sharedStrings.xml><?xml version="1.0" encoding="utf-8"?>
<sst xmlns="http://schemas.openxmlformats.org/spreadsheetml/2006/main" count="68" uniqueCount="53">
  <si>
    <t>age_group</t>
  </si>
  <si>
    <t>total_policies</t>
  </si>
  <si>
    <t>total_claims</t>
  </si>
  <si>
    <t>total_exposure</t>
  </si>
  <si>
    <t>claim_frequency</t>
  </si>
  <si>
    <t>Young</t>
  </si>
  <si>
    <t>Early Career</t>
  </si>
  <si>
    <t>Middle Age</t>
  </si>
  <si>
    <t>Senior</t>
  </si>
  <si>
    <t>avg_claim_amount</t>
  </si>
  <si>
    <t>total_claim_amount</t>
  </si>
  <si>
    <t>region</t>
  </si>
  <si>
    <t>severity_record_count</t>
  </si>
  <si>
    <t>avg_severity</t>
  </si>
  <si>
    <t>pure_premium_proxy</t>
  </si>
  <si>
    <t>Champagne-Ardenne</t>
  </si>
  <si>
    <t>Corse</t>
  </si>
  <si>
    <t>Rhone-Alpes</t>
  </si>
  <si>
    <t>Picardie</t>
  </si>
  <si>
    <t>Centre</t>
  </si>
  <si>
    <t>Provence-Alpes-Cotes-D'Azur</t>
  </si>
  <si>
    <t>Ile-de-France</t>
  </si>
  <si>
    <t>Franche-Comte</t>
  </si>
  <si>
    <t>Bretagne</t>
  </si>
  <si>
    <t>Languedoc-Roussillon</t>
  </si>
  <si>
    <t>Basse-Normandie</t>
  </si>
  <si>
    <t>Bourgogne</t>
  </si>
  <si>
    <t>Nord-Pas-de-Calais</t>
  </si>
  <si>
    <t>Aquitaine</t>
  </si>
  <si>
    <t>Limousin</t>
  </si>
  <si>
    <t>Pays-de-la-Loire</t>
  </si>
  <si>
    <t>Alsace</t>
  </si>
  <si>
    <t>Midi-Pyrenees</t>
  </si>
  <si>
    <t>Haute-Normandie</t>
  </si>
  <si>
    <t>Poitou-Charentes</t>
  </si>
  <si>
    <t>Auvergne</t>
  </si>
  <si>
    <t>Row Labels</t>
  </si>
  <si>
    <t>Pure Premium Proxy</t>
  </si>
  <si>
    <t>Average Observed Severity</t>
  </si>
  <si>
    <t>Hypothetical Cap Reduction</t>
  </si>
  <si>
    <t>Total Policies</t>
  </si>
  <si>
    <t>Annualized Claim Frequency</t>
  </si>
  <si>
    <t>avg_claim_amount_capped</t>
  </si>
  <si>
    <t>avg_payment_reduction</t>
  </si>
  <si>
    <t>total_payment_reduction</t>
  </si>
  <si>
    <t>Original Overall Mean Severity</t>
  </si>
  <si>
    <t>Capped Overall Mean Severity</t>
  </si>
  <si>
    <t>Young Driver Mean Below €280K</t>
  </si>
  <si>
    <t>Hypothetical Cap</t>
  </si>
  <si>
    <t>Young Driver Original Mean Severity</t>
  </si>
  <si>
    <t>Metric</t>
  </si>
  <si>
    <t>Value</t>
  </si>
  <si>
    <t>Young Driver Filtered Mean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</si>
</sst>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€-2]\ #,##0.00"/>
    <numFmt numFmtId="170" formatCode="[$€-2]\ #,##0.00;[Red]\-[$€-2]\ #,##0.00"/>
    <numFmt numFmtId="171" formatCode="[$€-2]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Border="1"/>
    <xf numFmtId="3" fontId="0" fillId="0" borderId="0" xfId="0" applyNumberFormat="1"/>
    <xf numFmtId="0" fontId="0" fillId="0" borderId="0" xfId="0" applyAlignment="1"/>
    <xf numFmtId="170" fontId="0" fillId="0" borderId="0" xfId="0" applyNumberFormat="1"/>
    <xf numFmtId="170" fontId="0" fillId="0" borderId="0" xfId="0" applyNumberFormat="1" applyAlignment="1">
      <alignment vertical="center" wrapText="1"/>
    </xf>
    <xf numFmtId="17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 Frequency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Age_Frequency!$E$1</c:f>
              <c:strCache>
                <c:ptCount val="1"/>
                <c:pt idx="0">
                  <c:v>claim_frequency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Age_Frequency!$A$2:$A$5</c:f>
              <c:strCache>
                <c:ptCount val="4"/>
                <c:pt idx="0">
                  <c:v>Young</c:v>
                </c:pt>
                <c:pt idx="1">
                  <c:v>Early Career</c:v>
                </c:pt>
                <c:pt idx="2">
                  <c:v>Middle Age</c:v>
                </c:pt>
                <c:pt idx="3">
                  <c:v>Senior</c:v>
                </c:pt>
              </c:strCache>
            </c:strRef>
          </c:cat>
          <c:val>
            <c:numRef>
              <c:f>Age_Frequency!$E$2:$E$5</c:f>
              <c:numCache>
                <c:formatCode>0.00%</c:formatCode>
                <c:ptCount val="4"/>
                <c:pt idx="0">
                  <c:v>0.189284130774308</c:v>
                </c:pt>
                <c:pt idx="1">
                  <c:v>9.4772321179747196E-2</c:v>
                </c:pt>
                <c:pt idx="2">
                  <c:v>0.100580970707419</c:v>
                </c:pt>
                <c:pt idx="3">
                  <c:v>9.4378044438278796E-2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D-4D45-963A-AF654F6189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4487023"/>
        <c:axId val="491998079"/>
      </c:barChart>
      <c:catAx>
        <c:axId val="102448702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98079"/>
        <c:crosses val="autoZero"/>
        <c:auto val="1"/>
        <c:lblAlgn val="ctr"/>
        <c:lblOffset val="100"/>
        <c:noMultiLvlLbl val="0"/>
      </c:catAx>
      <c:valAx>
        <c:axId val="491998079"/>
        <c:scaling>
          <c:orientation val="minMax"/>
        </c:scaling>
        <c:delete val="0"/>
        <c:axPos val="t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8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Claim Severity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Age_Severity!$C$1</c:f>
              <c:strCache>
                <c:ptCount val="1"/>
                <c:pt idx="0">
                  <c:v>avg_claim_amount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€-2]\ #,##0.0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Age_Severity!$A$2:$A$5</c:f>
              <c:strCache>
                <c:ptCount val="4"/>
                <c:pt idx="0">
                  <c:v>Young</c:v>
                </c:pt>
                <c:pt idx="1">
                  <c:v>Senior</c:v>
                </c:pt>
                <c:pt idx="2">
                  <c:v>Early Career</c:v>
                </c:pt>
                <c:pt idx="3">
                  <c:v>Middle Age</c:v>
                </c:pt>
              </c:strCache>
            </c:strRef>
          </c:cat>
          <c:val>
            <c:numRef>
              <c:f>Age_Severity!$C$2:$C$5</c:f>
              <c:numCache>
                <c:formatCode>General</c:formatCode>
                <c:ptCount val="4"/>
                <c:pt idx="0">
                  <c:v>5838.56002486326</c:v>
                </c:pt>
                <c:pt idx="1">
                  <c:v>2213.8455591951401</c:v>
                </c:pt>
                <c:pt idx="2">
                  <c:v>1998.8521254705299</c:v>
                </c:pt>
                <c:pt idx="3">
                  <c:v>1868.49166707687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2-4FAD-8A2B-0EE6D1770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4574719"/>
        <c:axId val="4349365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Age_Severity!$B$1</c15:sqref>
                        </c15:formulaRef>
                      </c:ext>
                    </c:extLst>
                    <c:strCache>
                      <c:ptCount val="1"/>
                      <c:pt idx="0">
                        <c:v>total_claims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Age_Severity!$A$2:$A$5</c15:sqref>
                        </c15:formulaRef>
                      </c:ext>
                    </c:extLst>
                    <c:strCache>
                      <c:ptCount val="4"/>
                      <c:pt idx="0">
                        <c:v>Young</c:v>
                      </c:pt>
                      <c:pt idx="1">
                        <c:v>Senior</c:v>
                      </c:pt>
                      <c:pt idx="2">
                        <c:v>Early Career</c:v>
                      </c:pt>
                      <c:pt idx="3">
                        <c:v>Middle Age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Age_Severity!$B$2:$B$5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2011</c:v>
                      </c:pt>
                      <c:pt idx="1">
                        <c:v>4274</c:v>
                      </c:pt>
                      <c:pt idx="2">
                        <c:v>7970</c:v>
                      </c:pt>
                      <c:pt idx="3">
                        <c:v>12189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992-4FAD-8A2B-0EE6D177021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Age_Severity!$D$1</c15:sqref>
                        </c15:formulaRef>
                      </c:ext>
                    </c:extLst>
                    <c:strCache>
                      <c:ptCount val="1"/>
                      <c:pt idx="0">
                        <c:v>total_claim_amount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Age_Severity!$A$2:$A$5</c15:sqref>
                        </c15:formulaRef>
                      </c:ext>
                    </c:extLst>
                    <c:strCache>
                      <c:ptCount val="4"/>
                      <c:pt idx="0">
                        <c:v>Young</c:v>
                      </c:pt>
                      <c:pt idx="1">
                        <c:v>Senior</c:v>
                      </c:pt>
                      <c:pt idx="2">
                        <c:v>Early Career</c:v>
                      </c:pt>
                      <c:pt idx="3">
                        <c:v>Middle Age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Age_Severity!$D$2:$D$5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11741344.210000001</c:v>
                      </c:pt>
                      <c:pt idx="1">
                        <c:v>9461975.9200000409</c:v>
                      </c:pt>
                      <c:pt idx="2">
                        <c:v>15930851.4400001</c:v>
                      </c:pt>
                      <c:pt idx="3">
                        <c:v>22775044.93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992-4FAD-8A2B-0EE6D1770218}"/>
                  </c:ext>
                </c:extLst>
              </c15:ser>
            </c15:filteredBarSeries>
          </c:ext>
        </c:extLst>
      </c:barChart>
      <c:catAx>
        <c:axId val="10245747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36511"/>
        <c:crosses val="autoZero"/>
        <c:auto val="1"/>
        <c:lblAlgn val="ctr"/>
        <c:lblOffset val="100"/>
        <c:noMultiLvlLbl val="0"/>
      </c:catAx>
      <c:valAx>
        <c:axId val="434936511"/>
        <c:scaling>
          <c:orientation val="minMax"/>
        </c:scaling>
        <c:delete val="0"/>
        <c:axPos val="t"/>
        <c:numFmt formatCode="[$€-2]\ #,##0.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74719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[Dashboard.xlsx]Regional_Pivot!PivotTable1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Regions by</a:t>
            </a:r>
            <a:r>
              <a:rPr lang="en-US" baseline="0"/>
              <a:t> Pure Premium Proxy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Regional_Pivot!$A$2:$A$6</c:f>
              <c:strCache>
                <c:ptCount val="5"/>
                <c:pt idx="0">
                  <c:v>Champagne-Ardenne</c:v>
                </c:pt>
                <c:pt idx="1">
                  <c:v>Corse</c:v>
                </c:pt>
                <c:pt idx="2">
                  <c:v>Rhone-Alpes</c:v>
                </c:pt>
                <c:pt idx="3">
                  <c:v>Picardie</c:v>
                </c:pt>
                <c:pt idx="4">
                  <c:v>Centre</c:v>
                </c:pt>
              </c:strCache>
            </c:strRef>
          </c:cat>
          <c:val>
            <c:numRef>
              <c:f>Regional_Pivot!$B$2:$B$6</c:f>
              <c:numCache>
                <c:formatCode>General</c:formatCode>
                <c:ptCount val="5"/>
                <c:pt idx="0">
                  <c:v>829.30039819772196</c:v>
                </c:pt>
                <c:pt idx="1">
                  <c:v>492.278765793547</c:v>
                </c:pt>
                <c:pt idx="2">
                  <c:v>269.43949690976501</c:v>
                </c:pt>
                <c:pt idx="3">
                  <c:v>268.95650631540201</c:v>
                </c:pt>
                <c:pt idx="4">
                  <c:v>263.98051903889501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C-4989-8E49-5B179DC4FE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4522751"/>
        <c:axId val="378871391"/>
      </c:barChart>
      <c:catAx>
        <c:axId val="102452275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1391"/>
        <c:crosses val="autoZero"/>
        <c:auto val="1"/>
        <c:lblAlgn val="ctr"/>
        <c:lblOffset val="100"/>
        <c:noMultiLvlLbl val="0"/>
      </c:catAx>
      <c:valAx>
        <c:axId val="37887139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5</xdr:row>
      <xdr:rowOff>180975</xdr:rowOff>
    </xdr:from>
    <xdr:to>
      <xdr:col>5</xdr:col>
      <xdr:colOff>438150</xdr:colOff>
      <xdr:row>20</xdr:row>
      <xdr:rowOff>66675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4C9A496-6EFE-DEF7-F2C6-EEB121C53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5</xdr:row>
      <xdr:rowOff>180975</xdr:rowOff>
    </xdr:from>
    <xdr:to>
      <xdr:col>11</xdr:col>
      <xdr:colOff>419100</xdr:colOff>
      <xdr:row>20</xdr:row>
      <xdr:rowOff>66675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0721B21-EF4D-A308-B19E-B1553C1EC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228599</xdr:colOff>
      <xdr:row>20</xdr:row>
      <xdr:rowOff>190499</xdr:rowOff>
    </xdr:from>
    <xdr:to>
      <xdr:col>11</xdr:col>
      <xdr:colOff>419100</xdr:colOff>
      <xdr:row>35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6000A-7BA6-71E2-02F4-1E22360E4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1</xdr:row>
      <xdr:rowOff>9525</xdr:rowOff>
    </xdr:from>
    <xdr:to>
      <xdr:col>2</xdr:col>
      <xdr:colOff>485775</xdr:colOff>
      <xdr:row>5</xdr:row>
      <xdr:rowOff>38100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DBEDD66-CFA1-4053-95D9-41E00811FD1C}"/>
            </a:ext>
          </a:extLst>
        </xdr:cNvPr>
        <xdr:cNvSpPr/>
      </xdr:nvSpPr>
      <xdr:spPr>
        <a:xfrm>
          <a:off x="238125" y="200025"/>
          <a:ext cx="1466850" cy="7905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</a:rPr>
            <a:t>Total Polices</a:t>
          </a:r>
        </a:p>
      </xdr:txBody>
    </xdr:sp>
    <xdr:clientData/>
  </xdr:twoCellAnchor>
  <xdr:oneCellAnchor>
    <xdr:from>
      <xdr:col>0</xdr:col>
      <xdr:colOff>266700</xdr:colOff>
      <xdr:row>2</xdr:row>
      <xdr:rowOff>171450</xdr:rowOff>
    </xdr:from>
    <xdr:ext cx="964495" cy="405432"/>
    <xdr:sp macro="" textlink="KPI_Data!B2">
      <xdr:nvSpPr>
        <xdr:cNvPr id="12" name="TextBox 11">
          <a:extLst>
            <a:ext uri="{FF2B5EF4-FFF2-40B4-BE49-F238E27FC236}">
              <a16:creationId xmlns:a16="http://schemas.microsoft.com/office/drawing/2014/main" id="{D93A5C4C-55C2-4B14-AAF9-E120E620BB12}"/>
            </a:ext>
          </a:extLst>
        </xdr:cNvPr>
        <xdr:cNvSpPr txBox="1"/>
      </xdr:nvSpPr>
      <xdr:spPr>
        <a:xfrm>
          <a:off x="266700" y="552450"/>
          <a:ext cx="96449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3F61F7B-F2AB-4AEF-871E-610DBC33EC7D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678,013</a:t>
          </a:fld>
          <a:endParaRPr lang="en-US" sz="2000" b="1"/>
        </a:p>
      </xdr:txBody>
    </xdr:sp>
    <xdr:clientData/>
  </xdr:oneCellAnchor>
  <xdr:twoCellAnchor>
    <xdr:from>
      <xdr:col>3</xdr:col>
      <xdr:colOff>57150</xdr:colOff>
      <xdr:row>1</xdr:row>
      <xdr:rowOff>9525</xdr:rowOff>
    </xdr:from>
    <xdr:to>
      <xdr:col>5</xdr:col>
      <xdr:colOff>304800</xdr:colOff>
      <xdr:row>5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B5D95CD-2265-4B4E-8D9B-B22A6DC7657C}"/>
            </a:ext>
          </a:extLst>
        </xdr:cNvPr>
        <xdr:cNvSpPr/>
      </xdr:nvSpPr>
      <xdr:spPr>
        <a:xfrm>
          <a:off x="1885950" y="200025"/>
          <a:ext cx="1466850" cy="7905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</a:rPr>
            <a:t>Claim Frequency</a:t>
          </a:r>
        </a:p>
      </xdr:txBody>
    </xdr:sp>
    <xdr:clientData/>
  </xdr:twoCellAnchor>
  <xdr:oneCellAnchor>
    <xdr:from>
      <xdr:col>3</xdr:col>
      <xdr:colOff>95250</xdr:colOff>
      <xdr:row>2</xdr:row>
      <xdr:rowOff>171450</xdr:rowOff>
    </xdr:from>
    <xdr:ext cx="965905" cy="405432"/>
    <xdr:sp macro="" textlink="KPI_Data!B3">
      <xdr:nvSpPr>
        <xdr:cNvPr id="14" name="TextBox 13">
          <a:extLst>
            <a:ext uri="{FF2B5EF4-FFF2-40B4-BE49-F238E27FC236}">
              <a16:creationId xmlns:a16="http://schemas.microsoft.com/office/drawing/2014/main" id="{94075564-05B2-4154-A69D-F1AE807EEE96}"/>
            </a:ext>
          </a:extLst>
        </xdr:cNvPr>
        <xdr:cNvSpPr txBox="1"/>
      </xdr:nvSpPr>
      <xdr:spPr>
        <a:xfrm>
          <a:off x="1924050" y="552450"/>
          <a:ext cx="9659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0F0D5FE-3508-480D-96B4-2291602B526C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10.07%</a:t>
          </a:fld>
          <a:endParaRPr lang="en-US" sz="2000" b="1"/>
        </a:p>
      </xdr:txBody>
    </xdr:sp>
    <xdr:clientData/>
  </xdr:oneCellAnchor>
  <xdr:twoCellAnchor>
    <xdr:from>
      <xdr:col>5</xdr:col>
      <xdr:colOff>485775</xdr:colOff>
      <xdr:row>1</xdr:row>
      <xdr:rowOff>9525</xdr:rowOff>
    </xdr:from>
    <xdr:to>
      <xdr:col>8</xdr:col>
      <xdr:colOff>180975</xdr:colOff>
      <xdr:row>5</xdr:row>
      <xdr:rowOff>38100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7EB8C4B-0490-4692-8B33-43730AC1CB2C}"/>
            </a:ext>
          </a:extLst>
        </xdr:cNvPr>
        <xdr:cNvSpPr/>
      </xdr:nvSpPr>
      <xdr:spPr>
        <a:xfrm>
          <a:off x="3533775" y="200025"/>
          <a:ext cx="1524000" cy="7905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</a:rPr>
            <a:t>Avg.</a:t>
          </a:r>
          <a:r>
            <a:rPr lang="en-US" sz="1100" b="0" baseline="0">
              <a:solidFill>
                <a:schemeClr val="tx1"/>
              </a:solidFill>
            </a:rPr>
            <a:t> Observed</a:t>
          </a:r>
          <a:r>
            <a:rPr lang="en-US" sz="1100" b="0">
              <a:solidFill>
                <a:schemeClr val="tx1"/>
              </a:solidFill>
            </a:rPr>
            <a:t> Severity</a:t>
          </a:r>
        </a:p>
        <a:p>
          <a:pPr algn="l"/>
          <a:endParaRPr lang="en-US" sz="1100" b="0">
            <a:solidFill>
              <a:schemeClr val="tx1"/>
            </a:solidFill>
          </a:endParaRPr>
        </a:p>
      </xdr:txBody>
    </xdr:sp>
    <xdr:clientData/>
  </xdr:twoCellAnchor>
  <xdr:oneCellAnchor>
    <xdr:from>
      <xdr:col>5</xdr:col>
      <xdr:colOff>504825</xdr:colOff>
      <xdr:row>2</xdr:row>
      <xdr:rowOff>161925</xdr:rowOff>
    </xdr:from>
    <xdr:ext cx="1277529" cy="405432"/>
    <xdr:sp macro="" textlink="KPI_Data!B4">
      <xdr:nvSpPr>
        <xdr:cNvPr id="16" name="TextBox 15">
          <a:extLst>
            <a:ext uri="{FF2B5EF4-FFF2-40B4-BE49-F238E27FC236}">
              <a16:creationId xmlns:a16="http://schemas.microsoft.com/office/drawing/2014/main" id="{F618A3EB-8672-4C33-9D99-D1C5A5E4E728}"/>
            </a:ext>
          </a:extLst>
        </xdr:cNvPr>
        <xdr:cNvSpPr txBox="1"/>
      </xdr:nvSpPr>
      <xdr:spPr>
        <a:xfrm>
          <a:off x="3552825" y="542925"/>
          <a:ext cx="127752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ACC711-8025-4F36-AB4F-996C2DF6F006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€ 2,265.51</a:t>
          </a:fld>
          <a:endParaRPr lang="en-US" sz="2000" b="1"/>
        </a:p>
      </xdr:txBody>
    </xdr:sp>
    <xdr:clientData/>
  </xdr:oneCellAnchor>
  <xdr:twoCellAnchor>
    <xdr:from>
      <xdr:col>8</xdr:col>
      <xdr:colOff>314324</xdr:colOff>
      <xdr:row>0</xdr:row>
      <xdr:rowOff>180975</xdr:rowOff>
    </xdr:from>
    <xdr:to>
      <xdr:col>10</xdr:col>
      <xdr:colOff>600075</xdr:colOff>
      <xdr:row>5</xdr:row>
      <xdr:rowOff>19050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E142BEF-01CB-4752-9D63-266799BF2B26}"/>
            </a:ext>
          </a:extLst>
        </xdr:cNvPr>
        <xdr:cNvSpPr/>
      </xdr:nvSpPr>
      <xdr:spPr>
        <a:xfrm>
          <a:off x="5191124" y="180975"/>
          <a:ext cx="1466851" cy="7905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</a:rPr>
            <a:t>Cap Reduction</a:t>
          </a:r>
        </a:p>
        <a:p>
          <a:pPr algn="l"/>
          <a:endParaRPr lang="en-US" sz="1100" b="0">
            <a:solidFill>
              <a:schemeClr val="tx1"/>
            </a:solidFill>
          </a:endParaRPr>
        </a:p>
      </xdr:txBody>
    </xdr:sp>
    <xdr:clientData/>
  </xdr:twoCellAnchor>
  <xdr:oneCellAnchor>
    <xdr:from>
      <xdr:col>8</xdr:col>
      <xdr:colOff>342900</xdr:colOff>
      <xdr:row>2</xdr:row>
      <xdr:rowOff>142875</xdr:rowOff>
    </xdr:from>
    <xdr:ext cx="965905" cy="405432"/>
    <xdr:sp macro="" textlink="KPI_Data!B5">
      <xdr:nvSpPr>
        <xdr:cNvPr id="18" name="TextBox 17">
          <a:extLst>
            <a:ext uri="{FF2B5EF4-FFF2-40B4-BE49-F238E27FC236}">
              <a16:creationId xmlns:a16="http://schemas.microsoft.com/office/drawing/2014/main" id="{35EEBAE7-AFB2-4A13-8702-5519A0CC188D}"/>
            </a:ext>
          </a:extLst>
        </xdr:cNvPr>
        <xdr:cNvSpPr txBox="1"/>
      </xdr:nvSpPr>
      <xdr:spPr>
        <a:xfrm>
          <a:off x="5219700" y="523875"/>
          <a:ext cx="9659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1F8DA76-7FDC-4D5A-8292-37F374B05D1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11.72%</a:t>
          </a:fld>
          <a:endParaRPr lang="en-US" sz="2000" b="1"/>
        </a:p>
      </xdr:txBody>
    </xdr:sp>
    <xdr:clientData/>
  </xdr:oneCellAnchor>
  <xdr:oneCellAnchor>
    <xdr:from>
      <xdr:col>1</xdr:col>
      <xdr:colOff>581025</xdr:colOff>
      <xdr:row>24</xdr:row>
      <xdr:rowOff>66675</xdr:rowOff>
    </xdr:from>
    <xdr:ext cx="25494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C69DAB3-1CAB-29D6-5D63-F82DB231E224}"/>
            </a:ext>
          </a:extLst>
        </xdr:cNvPr>
        <xdr:cNvSpPr txBox="1"/>
      </xdr:nvSpPr>
      <xdr:spPr>
        <a:xfrm>
          <a:off x="1190625" y="4638675"/>
          <a:ext cx="2549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*</a:t>
          </a:r>
        </a:p>
      </xdr:txBody>
    </xdr:sp>
    <xdr:clientData/>
  </xdr:oneCellAnchor>
  <xdr:oneCellAnchor>
    <xdr:from>
      <xdr:col>2</xdr:col>
      <xdr:colOff>161925</xdr:colOff>
      <xdr:row>36</xdr:row>
      <xdr:rowOff>180975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C21DBD5-1050-E022-69EC-81ADB163A92D}"/>
            </a:ext>
          </a:extLst>
        </xdr:cNvPr>
        <xdr:cNvSpPr txBox="1"/>
      </xdr:nvSpPr>
      <xdr:spPr>
        <a:xfrm>
          <a:off x="1381125" y="7038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161926</xdr:colOff>
      <xdr:row>35</xdr:row>
      <xdr:rowOff>161925</xdr:rowOff>
    </xdr:from>
    <xdr:ext cx="6934200" cy="43678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95BB8DF-FEE5-770A-2242-D288651D9875}"/>
            </a:ext>
          </a:extLst>
        </xdr:cNvPr>
        <xdr:cNvSpPr txBox="1"/>
      </xdr:nvSpPr>
      <xdr:spPr>
        <a:xfrm>
          <a:off x="161926" y="6829425"/>
          <a:ext cx="69342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*Champagne-Ardenne's largest observed claim accounts for 76.7% of its matched claim payments. Regional comparisons are sensitive to extreme losses.</a:t>
          </a:r>
          <a:endParaRPr lang="en-US" sz="1100"/>
        </a:p>
      </xdr:txBody>
    </xdr:sp>
    <xdr:clientData/>
  </xdr:oneCellAnchor>
  <xdr:oneCellAnchor>
    <xdr:from>
      <xdr:col>12</xdr:col>
      <xdr:colOff>228600</xdr:colOff>
      <xdr:row>20</xdr:row>
      <xdr:rowOff>114300</xdr:rowOff>
    </xdr:from>
    <xdr:ext cx="3001527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EC21AE3-6E81-3873-4476-E5DA16CE9F07}"/>
            </a:ext>
          </a:extLst>
        </xdr:cNvPr>
        <xdr:cNvSpPr txBox="1"/>
      </xdr:nvSpPr>
      <xdr:spPr>
        <a:xfrm>
          <a:off x="7505700" y="3924300"/>
          <a:ext cx="300152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Extreme</a:t>
          </a:r>
          <a:r>
            <a:rPr lang="en-US" sz="2400" b="1" baseline="0"/>
            <a:t> Loss Analysis</a:t>
          </a:r>
        </a:p>
      </xdr:txBody>
    </xdr:sp>
    <xdr:clientData/>
  </xdr:oneCellAnchor>
  <xdr:oneCellAnchor>
    <xdr:from>
      <xdr:col>12</xdr:col>
      <xdr:colOff>247650</xdr:colOff>
      <xdr:row>22</xdr:row>
      <xdr:rowOff>114300</xdr:rowOff>
    </xdr:from>
    <xdr:ext cx="2279085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E461541-2B72-4B66-6834-C0C723D09849}"/>
            </a:ext>
          </a:extLst>
        </xdr:cNvPr>
        <xdr:cNvSpPr txBox="1"/>
      </xdr:nvSpPr>
      <xdr:spPr>
        <a:xfrm>
          <a:off x="7524750" y="4305300"/>
          <a:ext cx="22790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>
              <a:solidFill>
                <a:schemeClr val="bg1">
                  <a:lumMod val="50000"/>
                </a:schemeClr>
              </a:solidFill>
            </a:rPr>
            <a:t>Young</a:t>
          </a:r>
          <a:r>
            <a:rPr lang="en-US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>
              <a:solidFill>
                <a:schemeClr val="bg1">
                  <a:lumMod val="50000"/>
                </a:schemeClr>
              </a:solidFill>
            </a:rPr>
            <a:t>driver claim severity sensitivity</a:t>
          </a:r>
          <a:endParaRPr lang="en-US" sz="110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12</xdr:col>
      <xdr:colOff>304799</xdr:colOff>
      <xdr:row>24</xdr:row>
      <xdr:rowOff>85725</xdr:rowOff>
    </xdr:from>
    <xdr:to>
      <xdr:col>14</xdr:col>
      <xdr:colOff>600075</xdr:colOff>
      <xdr:row>28</xdr:row>
      <xdr:rowOff>114300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C555E270-698F-4391-AD83-A3D8E38B77A4}"/>
            </a:ext>
          </a:extLst>
        </xdr:cNvPr>
        <xdr:cNvSpPr/>
      </xdr:nvSpPr>
      <xdr:spPr>
        <a:xfrm>
          <a:off x="7581899" y="4657725"/>
          <a:ext cx="1514476" cy="7905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</a:rPr>
            <a:t>Original Mean Severity</a:t>
          </a:r>
        </a:p>
        <a:p>
          <a:pPr algn="l"/>
          <a:endParaRPr lang="en-US" sz="1100" b="0">
            <a:solidFill>
              <a:schemeClr val="tx1"/>
            </a:solidFill>
          </a:endParaRPr>
        </a:p>
      </xdr:txBody>
    </xdr:sp>
    <xdr:clientData/>
  </xdr:twoCellAnchor>
  <xdr:oneCellAnchor>
    <xdr:from>
      <xdr:col>12</xdr:col>
      <xdr:colOff>333375</xdr:colOff>
      <xdr:row>25</xdr:row>
      <xdr:rowOff>114300</xdr:rowOff>
    </xdr:from>
    <xdr:ext cx="1277529" cy="405432"/>
    <xdr:sp macro="" textlink="KPI_Data!B6">
      <xdr:nvSpPr>
        <xdr:cNvPr id="27" name="TextBox 26">
          <a:extLst>
            <a:ext uri="{FF2B5EF4-FFF2-40B4-BE49-F238E27FC236}">
              <a16:creationId xmlns:a16="http://schemas.microsoft.com/office/drawing/2014/main" id="{EC3C5812-5D25-40D1-8A7C-0923D24A4543}"/>
            </a:ext>
          </a:extLst>
        </xdr:cNvPr>
        <xdr:cNvSpPr txBox="1"/>
      </xdr:nvSpPr>
      <xdr:spPr>
        <a:xfrm>
          <a:off x="7610475" y="4876800"/>
          <a:ext cx="127752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2884F17-558B-439E-A62E-EDB846D0819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€ 5,838.56</a:t>
          </a:fld>
          <a:endParaRPr lang="en-US" sz="2000" b="1"/>
        </a:p>
      </xdr:txBody>
    </xdr:sp>
    <xdr:clientData/>
  </xdr:oneCellAnchor>
  <xdr:oneCellAnchor>
    <xdr:from>
      <xdr:col>12</xdr:col>
      <xdr:colOff>352425</xdr:colOff>
      <xdr:row>27</xdr:row>
      <xdr:rowOff>28575</xdr:rowOff>
    </xdr:from>
    <xdr:ext cx="125778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F011A75-940F-E5A4-42A6-31EC2390F27C}"/>
            </a:ext>
          </a:extLst>
        </xdr:cNvPr>
        <xdr:cNvSpPr txBox="1"/>
      </xdr:nvSpPr>
      <xdr:spPr>
        <a:xfrm>
          <a:off x="7629525" y="5172075"/>
          <a:ext cx="12577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All</a:t>
          </a:r>
          <a:r>
            <a:rPr lang="en-US" sz="1100" baseline="0">
              <a:solidFill>
                <a:schemeClr val="tx1">
                  <a:lumMod val="65000"/>
                  <a:lumOff val="35000"/>
                </a:schemeClr>
              </a:solidFill>
            </a:rPr>
            <a:t> matched claims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twoCellAnchor>
    <xdr:from>
      <xdr:col>15</xdr:col>
      <xdr:colOff>114299</xdr:colOff>
      <xdr:row>24</xdr:row>
      <xdr:rowOff>85725</xdr:rowOff>
    </xdr:from>
    <xdr:to>
      <xdr:col>18</xdr:col>
      <xdr:colOff>171450</xdr:colOff>
      <xdr:row>28</xdr:row>
      <xdr:rowOff>114300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54596750-225F-4319-B9B2-AF722EEFFD9B}"/>
            </a:ext>
          </a:extLst>
        </xdr:cNvPr>
        <xdr:cNvSpPr/>
      </xdr:nvSpPr>
      <xdr:spPr>
        <a:xfrm>
          <a:off x="9220199" y="4657725"/>
          <a:ext cx="1704976" cy="7905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</a:rPr>
            <a:t>Excluding</a:t>
          </a:r>
          <a:r>
            <a:rPr lang="en-US" sz="1100" b="0" baseline="0">
              <a:solidFill>
                <a:schemeClr val="tx1"/>
              </a:solidFill>
            </a:rPr>
            <a:t> Extreme Claims</a:t>
          </a:r>
          <a:endParaRPr lang="en-US" sz="1100" b="0">
            <a:solidFill>
              <a:schemeClr val="tx1"/>
            </a:solidFill>
          </a:endParaRPr>
        </a:p>
        <a:p>
          <a:pPr algn="l"/>
          <a:endParaRPr lang="en-US" sz="1100" b="0">
            <a:solidFill>
              <a:schemeClr val="tx1"/>
            </a:solidFill>
          </a:endParaRPr>
        </a:p>
      </xdr:txBody>
    </xdr:sp>
    <xdr:clientData/>
  </xdr:twoCellAnchor>
  <xdr:oneCellAnchor>
    <xdr:from>
      <xdr:col>15</xdr:col>
      <xdr:colOff>152400</xdr:colOff>
      <xdr:row>25</xdr:row>
      <xdr:rowOff>104775</xdr:rowOff>
    </xdr:from>
    <xdr:ext cx="1275927" cy="405432"/>
    <xdr:sp macro="" textlink="KPI_Data!B7">
      <xdr:nvSpPr>
        <xdr:cNvPr id="30" name="TextBox 29">
          <a:extLst>
            <a:ext uri="{FF2B5EF4-FFF2-40B4-BE49-F238E27FC236}">
              <a16:creationId xmlns:a16="http://schemas.microsoft.com/office/drawing/2014/main" id="{C4C10DD9-A328-423D-886A-60AE5520FE73}"/>
            </a:ext>
          </a:extLst>
        </xdr:cNvPr>
        <xdr:cNvSpPr txBox="1"/>
      </xdr:nvSpPr>
      <xdr:spPr>
        <a:xfrm>
          <a:off x="9258300" y="4867275"/>
          <a:ext cx="127592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523FF1-1950-44AC-A535-0387C22AEEA8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€ 2,319.19</a:t>
          </a:fld>
          <a:endParaRPr lang="en-US" sz="2000" b="1"/>
        </a:p>
      </xdr:txBody>
    </xdr:sp>
    <xdr:clientData/>
  </xdr:oneCellAnchor>
  <xdr:oneCellAnchor>
    <xdr:from>
      <xdr:col>15</xdr:col>
      <xdr:colOff>161925</xdr:colOff>
      <xdr:row>27</xdr:row>
      <xdr:rowOff>28575</xdr:rowOff>
    </xdr:from>
    <xdr:ext cx="125778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EAFB0DE-6F5F-43CC-BAA7-9F5DEC252364}"/>
            </a:ext>
          </a:extLst>
        </xdr:cNvPr>
        <xdr:cNvSpPr txBox="1"/>
      </xdr:nvSpPr>
      <xdr:spPr>
        <a:xfrm>
          <a:off x="9267825" y="5172075"/>
          <a:ext cx="12577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All</a:t>
          </a:r>
          <a:r>
            <a:rPr lang="en-US" sz="1100" baseline="0">
              <a:solidFill>
                <a:schemeClr val="tx1">
                  <a:lumMod val="65000"/>
                  <a:lumOff val="35000"/>
                </a:schemeClr>
              </a:solidFill>
            </a:rPr>
            <a:t> matched claims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ckary Gennette" refreshedDate="46312.726239583331" createdVersion="8" refreshedVersion="8" minRefreshableVersion="3" recordCount="21" xr:uid="{A807F381-E05F-436E-9D7D-3408186D987B}">
  <cacheSource type="worksheet">
    <worksheetSource name="regional_risk"/>
  </cacheSource>
  <cacheFields count="7">
    <cacheField name="region" numFmtId="0">
      <sharedItems count="21">
        <s v="Champagne-Ardenne"/>
        <s v="Corse"/>
        <s v="Rhone-Alpes"/>
        <s v="Picardie"/>
        <s v="Centre"/>
        <s v="Provence-Alpes-Cotes-D'Azur"/>
        <s v="Ile-de-France"/>
        <s v="Franche-Comte"/>
        <s v="Bretagne"/>
        <s v="Languedoc-Roussillon"/>
        <s v="Basse-Normandie"/>
        <s v="Bourgogne"/>
        <s v="Nord-Pas-de-Calais"/>
        <s v="Aquitaine"/>
        <s v="Limousin"/>
        <s v="Pays-de-la-Loire"/>
        <s v="Alsace"/>
        <s v="Midi-Pyrenees"/>
        <s v="Haute-Normandie"/>
        <s v="Poitou-Charentes"/>
        <s v="Auvergne"/>
      </sharedItems>
    </cacheField>
    <cacheField name="total_policies" numFmtId="0">
      <sharedItems containsSemiMixedTypes="0" containsString="0" containsNumber="1" containsInteger="1" minValue="1326" maxValue="160601"/>
    </cacheField>
    <cacheField name="total_exposure" numFmtId="0">
      <sharedItems containsSemiMixedTypes="0" containsString="0" containsNumber="1" minValue="564.01294632599797" maxValue="102712.90338556199"/>
    </cacheField>
    <cacheField name="claim_frequency" numFmtId="0">
      <sharedItems containsSemiMixedTypes="0" containsString="0" containsNumber="1" minValue="8.1364364901468506E-2" maxValue="0.13986921610540101"/>
    </cacheField>
    <cacheField name="severity_record_count" numFmtId="0">
      <sharedItems containsSemiMixedTypes="0" containsString="0" containsNumber="1" containsInteger="1" minValue="38" maxValue="6475"/>
    </cacheField>
    <cacheField name="avg_severity" numFmtId="0">
      <sharedItems containsSemiMixedTypes="0" containsString="0" containsNumber="1" minValue="1304.7860283687901" maxValue="6249.97844155844"/>
    </cacheField>
    <cacheField name="pure_premium_proxy" numFmtId="0">
      <sharedItems containsSemiMixedTypes="0" containsString="0" containsNumber="1" minValue="106.16308653053601" maxValue="829.300398197721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3026"/>
    <n v="1205.831509092"/>
    <n v="0.13268852140087301"/>
    <n v="77"/>
    <n v="6249.97844155844"/>
    <n v="829.30039819772196"/>
  </r>
  <r>
    <x v="1"/>
    <n v="4516"/>
    <n v="1765.9353993509801"/>
    <n v="0.13986921610540101"/>
    <n v="132"/>
    <n v="3519.5647727272699"/>
    <n v="492.278765793547"/>
  </r>
  <r>
    <x v="2"/>
    <n v="84752"/>
    <n v="45347.417285634001"/>
    <n v="0.11096552573886299"/>
    <n v="4233"/>
    <n v="2428.1369832270302"/>
    <n v="269.43949690976501"/>
  </r>
  <r>
    <x v="3"/>
    <n v="7994"/>
    <n v="3574.4102208109798"/>
    <n v="0.122817464387285"/>
    <n v="314"/>
    <n v="2189.8881210191098"/>
    <n v="268.95650631540201"/>
  </r>
  <r>
    <x v="4"/>
    <n v="160601"/>
    <n v="102712.90338556199"/>
    <n v="8.9608994553003696E-2"/>
    <n v="6475"/>
    <n v="2945.9154223937999"/>
    <n v="263.98051903889501"/>
  </r>
  <r>
    <x v="5"/>
    <n v="79315"/>
    <n v="35790.321014965601"/>
    <n v="0.10916359197690099"/>
    <n v="2986"/>
    <n v="2301.0799732083101"/>
    <n v="251.19415530153"/>
  </r>
  <r>
    <x v="6"/>
    <n v="69791"/>
    <n v="30208.641954402599"/>
    <n v="0.131684171900361"/>
    <n v="2591"/>
    <n v="1761.18172906215"/>
    <n v="231.91975755759401"/>
  </r>
  <r>
    <x v="7"/>
    <n v="1326"/>
    <n v="564.01294632599797"/>
    <n v="0.101061509972954"/>
    <n v="38"/>
    <n v="2014.0555263157901"/>
    <n v="203.54349265884599"/>
  </r>
  <r>
    <x v="8"/>
    <n v="42122"/>
    <n v="27753.4636746131"/>
    <n v="9.7357217523504805E-2"/>
    <n v="1871"/>
    <n v="2085.00868519509"/>
    <n v="202.99064410293499"/>
  </r>
  <r>
    <x v="9"/>
    <n v="35805"/>
    <n v="14736.1041769285"/>
    <n v="0.104980256750767"/>
    <n v="1068"/>
    <n v="1901.60213483146"/>
    <n v="199.63068035241301"/>
  </r>
  <r>
    <x v="10"/>
    <n v="10893"/>
    <n v="6657.9011422899102"/>
    <n v="9.50750073441744E-2"/>
    <n v="452"/>
    <n v="2057.1843141592899"/>
    <n v="195.58681377701501"/>
  </r>
  <r>
    <x v="11"/>
    <n v="10492"/>
    <n v="5025.3586091589405"/>
    <n v="0.101684285588829"/>
    <n v="345"/>
    <n v="1844.3421449275399"/>
    <n v="187.54061338832599"/>
  </r>
  <r>
    <x v="12"/>
    <n v="40275"/>
    <n v="19611.7522411436"/>
    <n v="9.1118834157564096E-2"/>
    <n v="1412"/>
    <n v="1890.2202691218099"/>
    <n v="172.23466722337599"/>
  </r>
  <r>
    <x v="13"/>
    <n v="31329"/>
    <n v="14322.166692078999"/>
    <n v="9.4119837380857205E-2"/>
    <n v="1055"/>
    <n v="1816.2450616113699"/>
    <n v="170.94468984264699"/>
  </r>
  <r>
    <x v="14"/>
    <n v="4567"/>
    <n v="2395.99454224799"/>
    <n v="0.10809707427672099"/>
    <n v="197"/>
    <n v="1422.76720812183"/>
    <n v="153.796972574829"/>
  </r>
  <r>
    <x v="15"/>
    <n v="38751"/>
    <n v="21934.031164713699"/>
    <n v="9.1638421816121807E-2"/>
    <n v="1576"/>
    <n v="1631.3229251268999"/>
    <n v="149.49185833108899"/>
  </r>
  <r>
    <x v="16"/>
    <n v="2200"/>
    <n v="1209.1158230379999"/>
    <n v="0.109997733439487"/>
    <n v="92"/>
    <n v="1319.83684782609"/>
    <n v="145.179061770787"/>
  </r>
  <r>
    <x v="17"/>
    <n v="17141"/>
    <n v="7020.1085545184396"/>
    <n v="9.8004182507573007E-2"/>
    <n v="369"/>
    <n v="1461.7486991869901"/>
    <n v="143.25748629532899"/>
  </r>
  <r>
    <x v="18"/>
    <n v="8784"/>
    <n v="3177.6821812918502"/>
    <n v="9.5352518821381502E-2"/>
    <n v="220"/>
    <n v="1488.6071818181799"/>
    <n v="141.942444321962"/>
  </r>
  <r>
    <x v="19"/>
    <n v="19046"/>
    <n v="11163.4087154432"/>
    <n v="8.6711865942961805E-2"/>
    <n v="800"/>
    <n v="1631.3847249999999"/>
    <n v="141.46041357559599"/>
  </r>
  <r>
    <x v="20"/>
    <n v="5287"/>
    <n v="2322.8842286039799"/>
    <n v="8.1364364901468506E-2"/>
    <n v="141"/>
    <n v="1304.7860283687901"/>
    <n v="106.16308653053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C70FF-D861-4BBF-90D3-A74E5DC9E033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1:B6" firstHeaderRow="1" firstDataRow="1" firstDataCol="1"/>
  <pivotFields count="7">
    <pivotField axis="axisRow" showAll="0" measureFilter="1" sortType="descending">
      <items count="22">
        <item x="16"/>
        <item x="13"/>
        <item x="20"/>
        <item x="10"/>
        <item x="11"/>
        <item x="8"/>
        <item x="4"/>
        <item x="0"/>
        <item x="1"/>
        <item x="7"/>
        <item x="18"/>
        <item x="6"/>
        <item x="9"/>
        <item x="14"/>
        <item x="17"/>
        <item x="12"/>
        <item x="15"/>
        <item x="3"/>
        <item x="1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7"/>
    </i>
    <i>
      <x v="8"/>
    </i>
    <i>
      <x v="20"/>
    </i>
    <i>
      <x v="17"/>
    </i>
    <i>
      <x v="6"/>
    </i>
  </rowItems>
  <colItems count="1">
    <i/>
  </colItems>
  <dataFields count="1">
    <dataField name="Pure Premium Proxy" fld="6" baseField="0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3FC6C4-E4A0-4F47-A70C-54A931372625}" autoFormatId="16" applyNumberFormats="0" applyBorderFormats="0" applyFontFormats="0" applyPatternFormats="0" applyAlignmentFormats="0" applyWidthHeightFormats="0">
  <queryTableRefresh nextId="6">
    <queryTableFields count="5">
      <queryTableField id="1" name="age_group" tableColumnId="1"/>
      <queryTableField id="2" name="total_policies" tableColumnId="2"/>
      <queryTableField id="3" name="total_claims" tableColumnId="3"/>
      <queryTableField id="4" name="total_exposure" tableColumnId="4"/>
      <queryTableField id="5" name="claim_frequenc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3212F0-1E7B-44DB-A9B4-61798B3BEFFB}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total_claims" tableColumnId="2"/>
      <queryTableField id="3" name="avg_claim_amount" tableColumnId="3"/>
      <queryTableField id="4" name="total_claim_am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673BDD1-061E-476B-8054-ADAFE3CCC765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total_policies" tableColumnId="2"/>
      <queryTableField id="3" name="total_exposure" tableColumnId="3"/>
      <queryTableField id="4" name="claim_frequency" tableColumnId="4"/>
      <queryTableField id="5" name="severity_record_count" tableColumnId="5"/>
      <queryTableField id="6" name="avg_severity" tableColumnId="6"/>
      <queryTableField id="7" name="pure_premium_prox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C2D3A9F-313B-4A01-9623-BB7BCC7B3C36}" autoFormatId="16" applyNumberFormats="0" applyBorderFormats="0" applyFontFormats="0" applyPatternFormats="0" applyAlignmentFormats="0" applyWidthHeightFormats="0">
  <queryTableRefresh nextId="5">
    <queryTableFields count="4">
      <queryTableField id="1" name="avg_claim_amount" tableColumnId="1"/>
      <queryTableField id="2" name="avg_claim_amount_capped" tableColumnId="2"/>
      <queryTableField id="3" name="avg_payment_reduction" tableColumnId="3"/>
      <queryTableField id="4" name="total_payment_reduc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10755-6FF5-4537-8349-29EDE71965F6}" name="age_frequency" displayName="age_frequency" ref="A1:E5" tableType="queryTable" totalsRowShown="0">
  <autoFilter ref="A1:E5" xr:uid="{87D10755-6FF5-4537-8349-29EDE71965F6}"/>
  <tableColumns count="5">
    <tableColumn id="1" xr3:uid="{11377B7B-6B79-4BA4-AF7E-DF0CE98A39A9}" uniqueName="1" name="age_group" queryTableFieldId="1" dataDxfId="3"/>
    <tableColumn id="2" xr3:uid="{5E74F168-F067-436B-A880-917ECB9B96C6}" uniqueName="2" name="total_policies" queryTableFieldId="2"/>
    <tableColumn id="3" xr3:uid="{39CD45AE-BC20-49A1-A9C6-970AC42A53FF}" uniqueName="3" name="total_claims" queryTableFieldId="3"/>
    <tableColumn id="4" xr3:uid="{F24DDD7E-80A3-4BD1-8E5A-5CB4B7E98B6D}" uniqueName="4" name="total_exposure" queryTableFieldId="4"/>
    <tableColumn id="5" xr3:uid="{69CC857A-7F13-4A44-892C-9CF20B74AC6E}" uniqueName="5" name="claim_frequency" queryTableFieldId="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D0FE8-A15E-440E-A970-554B409C4557}" name="age_severity" displayName="age_severity" ref="A1:D5" tableType="queryTable" totalsRowShown="0">
  <autoFilter ref="A1:D5" xr:uid="{72FD0FE8-A15E-440E-A970-554B409C4557}"/>
  <tableColumns count="4">
    <tableColumn id="1" xr3:uid="{1B7B3D1F-A59A-4FDA-BA55-1FFD6BD6BEC9}" uniqueName="1" name="age_group" queryTableFieldId="1" dataDxfId="1"/>
    <tableColumn id="2" xr3:uid="{C2D11453-9F4C-4673-9E48-2F45BDFB900E}" uniqueName="2" name="total_claims" queryTableFieldId="2"/>
    <tableColumn id="3" xr3:uid="{228A69B5-9202-454A-B03E-267B4D8877BF}" uniqueName="3" name="avg_claim_amount" queryTableFieldId="3"/>
    <tableColumn id="4" xr3:uid="{529033DB-593B-4F39-BDC8-DAD0D7843CF0}" uniqueName="4" name="total_claim_amou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7895B0-B8DF-479B-B2E7-687ABF03319F}" name="regional_risk" displayName="regional_risk" ref="A1:G22" tableType="queryTable" totalsRowShown="0">
  <autoFilter ref="A1:G22" xr:uid="{807895B0-B8DF-479B-B2E7-687ABF03319F}"/>
  <tableColumns count="7">
    <tableColumn id="1" xr3:uid="{592BBB29-73AA-494D-8B5B-50DF3CF03BAC}" uniqueName="1" name="region" queryTableFieldId="1" dataDxfId="0"/>
    <tableColumn id="2" xr3:uid="{8E78B54C-A00B-4434-BF8C-BD03C903C82A}" uniqueName="2" name="total_policies" queryTableFieldId="2"/>
    <tableColumn id="3" xr3:uid="{789FE948-9EAB-4CE0-AF2F-FECA79D43C62}" uniqueName="3" name="total_exposure" queryTableFieldId="3"/>
    <tableColumn id="4" xr3:uid="{91F34FAD-8C69-4BCD-AE3D-9126C02FAE82}" uniqueName="4" name="claim_frequency" queryTableFieldId="4"/>
    <tableColumn id="5" xr3:uid="{50665328-FD23-46ED-B560-FAB13E3A5684}" uniqueName="5" name="severity_record_count" queryTableFieldId="5"/>
    <tableColumn id="6" xr3:uid="{3CFD7738-B63D-4D2A-B3BB-EA8AF8A4817F}" uniqueName="6" name="avg_severity" queryTableFieldId="6"/>
    <tableColumn id="7" xr3:uid="{C6D25230-4A50-490C-A21D-1A6CD5D6FFC5}" uniqueName="7" name="pure_premium_proxy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3DACB1-8603-4AA2-BBD9-FA02E35AA5DE}" name="tail_risk" displayName="tail_risk" ref="A1:D2" tableType="queryTable" totalsRowShown="0">
  <autoFilter ref="A1:D2" xr:uid="{B43DACB1-8603-4AA2-BBD9-FA02E35AA5DE}"/>
  <tableColumns count="4">
    <tableColumn id="1" xr3:uid="{DCBEDDE2-A22D-45C1-BD1F-7FB2C1496A47}" uniqueName="1" name="avg_claim_amount" queryTableFieldId="1"/>
    <tableColumn id="2" xr3:uid="{C3671389-E409-4E4E-816C-538D2C414C9D}" uniqueName="2" name="avg_claim_amount_capped" queryTableFieldId="2"/>
    <tableColumn id="3" xr3:uid="{6E5C84AB-843A-44DF-93A9-8603E92D7039}" uniqueName="3" name="avg_payment_reduction" queryTableFieldId="3"/>
    <tableColumn id="4" xr3:uid="{72773A39-0C7C-4B9F-8DA2-558AAE8BDE8E}" uniqueName="4" name="total_payment_reduction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DA6DE4-E6E0-4141-8A0B-9811EBEEF887}" name="Table6" displayName="Table6" ref="A1:B11" totalsRowShown="0">
  <autoFilter ref="A1:B11" xr:uid="{C2DA6DE4-E6E0-4141-8A0B-9811EBEEF887}"/>
  <tableColumns count="2">
    <tableColumn id="1" xr3:uid="{A445238B-886F-4AB6-BE8C-42BB40F1021F}" name="Metric"/>
    <tableColumn id="2" xr3:uid="{57BE359F-95D3-4288-ABE7-AD485097BD3D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DAFD-94B6-4097-9A91-01E8AD9F6276}">
  <dimension ref="A1"/>
  <sheetViews>
    <sheetView showGridLines="0" tabSelected="1" workbookViewId="0">
      <selection activeCell="P15" sqref="P15"/>
    </sheetView>
  </sheetViews>
  <sheetFormatPr defaultRowHeight="15" x14ac:dyDescent="0.25"/>
  <cols>
    <col min="1" max="8" width="9.140625" style="6"/>
    <col min="9" max="9" width="8.7109375" style="6" customWidth="1"/>
    <col min="10" max="10" width="9" style="6" customWidth="1"/>
    <col min="11" max="15" width="9.140625" style="6"/>
    <col min="16" max="16" width="8.5703125" style="6" customWidth="1"/>
    <col min="17" max="17" width="8" style="6" customWidth="1"/>
    <col min="18" max="18" width="8.140625" style="6" customWidth="1"/>
    <col min="19" max="16384" width="9.140625" style="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C2E8-6BE0-41D7-8C09-36B9519FFEE5}">
  <dimension ref="A1:E5"/>
  <sheetViews>
    <sheetView workbookViewId="0">
      <selection activeCell="R21" sqref="R21"/>
    </sheetView>
  </sheetViews>
  <sheetFormatPr defaultRowHeight="15" x14ac:dyDescent="0.25"/>
  <cols>
    <col min="1" max="1" width="12.42578125" bestFit="1" customWidth="1"/>
    <col min="2" max="2" width="15.5703125" bestFit="1" customWidth="1"/>
    <col min="3" max="3" width="14.140625" bestFit="1" customWidth="1"/>
    <col min="4" max="4" width="16.85546875" bestFit="1" customWidth="1"/>
    <col min="5" max="5" width="18.28515625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 s="1" t="s">
        <v>5</v>
      </c>
      <c r="B2">
        <v>30198</v>
      </c>
      <c r="C2">
        <v>2364</v>
      </c>
      <c r="D2">
        <v>12489.161084606199</v>
      </c>
      <c r="E2" s="2">
        <v>0.189284130774308</v>
      </c>
    </row>
    <row r="3" spans="1:5" x14ac:dyDescent="0.25">
      <c r="A3" s="1" t="s">
        <v>6</v>
      </c>
      <c r="B3">
        <v>227371</v>
      </c>
      <c r="C3">
        <v>10249</v>
      </c>
      <c r="D3">
        <v>108143.389044588</v>
      </c>
      <c r="E3" s="2">
        <v>9.4772321179747196E-2</v>
      </c>
    </row>
    <row r="4" spans="1:5" x14ac:dyDescent="0.25">
      <c r="A4" s="1" t="s">
        <v>7</v>
      </c>
      <c r="B4">
        <v>308302</v>
      </c>
      <c r="C4">
        <v>16857</v>
      </c>
      <c r="D4">
        <v>167596.31450600701</v>
      </c>
      <c r="E4" s="2">
        <v>0.100580970707419</v>
      </c>
    </row>
    <row r="5" spans="1:5" x14ac:dyDescent="0.25">
      <c r="A5" s="1" t="s">
        <v>8</v>
      </c>
      <c r="B5">
        <v>112142</v>
      </c>
      <c r="C5">
        <v>6632</v>
      </c>
      <c r="D5">
        <v>70270.580827060694</v>
      </c>
      <c r="E5" s="2">
        <v>9.4378044438278796E-2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680-EC2C-4631-B637-77230A815CE7}">
  <dimension ref="A1:D5"/>
  <sheetViews>
    <sheetView workbookViewId="0">
      <selection activeCell="D11" sqref="D11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20" bestFit="1" customWidth="1"/>
    <col min="4" max="4" width="21.140625" bestFit="1" customWidth="1"/>
  </cols>
  <sheetData>
    <row r="1" spans="1:4" x14ac:dyDescent="0.25">
      <c r="A1" t="s">
        <v>0</v>
      </c>
      <c r="B1" t="s">
        <v>2</v>
      </c>
      <c r="C1" t="s">
        <v>9</v>
      </c>
      <c r="D1" t="s">
        <v>10</v>
      </c>
    </row>
    <row r="2" spans="1:4" x14ac:dyDescent="0.25">
      <c r="A2" s="1" t="s">
        <v>5</v>
      </c>
      <c r="B2">
        <v>2011</v>
      </c>
      <c r="C2">
        <v>5838.56002486326</v>
      </c>
      <c r="D2">
        <v>11741344.210000001</v>
      </c>
    </row>
    <row r="3" spans="1:4" x14ac:dyDescent="0.25">
      <c r="A3" s="1" t="s">
        <v>8</v>
      </c>
      <c r="B3">
        <v>4274</v>
      </c>
      <c r="C3">
        <v>2213.8455591951401</v>
      </c>
      <c r="D3">
        <v>9461975.9200000409</v>
      </c>
    </row>
    <row r="4" spans="1:4" x14ac:dyDescent="0.25">
      <c r="A4" s="1" t="s">
        <v>6</v>
      </c>
      <c r="B4">
        <v>7970</v>
      </c>
      <c r="C4">
        <v>1998.8521254705299</v>
      </c>
      <c r="D4">
        <v>15930851.4400001</v>
      </c>
    </row>
    <row r="5" spans="1:4" x14ac:dyDescent="0.25">
      <c r="A5" s="1" t="s">
        <v>7</v>
      </c>
      <c r="B5">
        <v>12189</v>
      </c>
      <c r="C5">
        <v>1868.49166707687</v>
      </c>
      <c r="D5">
        <v>22775044.93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35B7-909E-4792-A93B-9A7543249901}">
  <dimension ref="A1:G22"/>
  <sheetViews>
    <sheetView workbookViewId="0">
      <selection activeCell="E33" sqref="E33"/>
    </sheetView>
  </sheetViews>
  <sheetFormatPr defaultRowHeight="15" x14ac:dyDescent="0.25"/>
  <cols>
    <col min="1" max="1" width="27" bestFit="1" customWidth="1"/>
    <col min="2" max="2" width="15.5703125" bestFit="1" customWidth="1"/>
    <col min="3" max="3" width="16.85546875" bestFit="1" customWidth="1"/>
    <col min="4" max="4" width="18.28515625" bestFit="1" customWidth="1"/>
    <col min="5" max="5" width="23.7109375" bestFit="1" customWidth="1"/>
    <col min="6" max="6" width="14.42578125" bestFit="1" customWidth="1"/>
    <col min="7" max="7" width="22.5703125" bestFit="1" customWidth="1"/>
  </cols>
  <sheetData>
    <row r="1" spans="1:7" x14ac:dyDescent="0.25">
      <c r="A1" t="s">
        <v>11</v>
      </c>
      <c r="B1" t="s">
        <v>1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 x14ac:dyDescent="0.25">
      <c r="A2" s="1" t="s">
        <v>15</v>
      </c>
      <c r="B2">
        <v>3026</v>
      </c>
      <c r="C2">
        <v>1205.831509092</v>
      </c>
      <c r="D2">
        <v>0.13268852140087301</v>
      </c>
      <c r="E2">
        <v>77</v>
      </c>
      <c r="F2">
        <v>6249.97844155844</v>
      </c>
      <c r="G2">
        <v>829.30039819772196</v>
      </c>
    </row>
    <row r="3" spans="1:7" x14ac:dyDescent="0.25">
      <c r="A3" s="1" t="s">
        <v>16</v>
      </c>
      <c r="B3">
        <v>4516</v>
      </c>
      <c r="C3">
        <v>1765.9353993509801</v>
      </c>
      <c r="D3">
        <v>0.13986921610540101</v>
      </c>
      <c r="E3">
        <v>132</v>
      </c>
      <c r="F3">
        <v>3519.5647727272699</v>
      </c>
      <c r="G3">
        <v>492.278765793547</v>
      </c>
    </row>
    <row r="4" spans="1:7" x14ac:dyDescent="0.25">
      <c r="A4" s="1" t="s">
        <v>17</v>
      </c>
      <c r="B4">
        <v>84752</v>
      </c>
      <c r="C4">
        <v>45347.417285634001</v>
      </c>
      <c r="D4">
        <v>0.11096552573886299</v>
      </c>
      <c r="E4">
        <v>4233</v>
      </c>
      <c r="F4">
        <v>2428.1369832270302</v>
      </c>
      <c r="G4">
        <v>269.43949690976501</v>
      </c>
    </row>
    <row r="5" spans="1:7" x14ac:dyDescent="0.25">
      <c r="A5" s="1" t="s">
        <v>18</v>
      </c>
      <c r="B5">
        <v>7994</v>
      </c>
      <c r="C5">
        <v>3574.4102208109798</v>
      </c>
      <c r="D5">
        <v>0.122817464387285</v>
      </c>
      <c r="E5">
        <v>314</v>
      </c>
      <c r="F5">
        <v>2189.8881210191098</v>
      </c>
      <c r="G5">
        <v>268.95650631540201</v>
      </c>
    </row>
    <row r="6" spans="1:7" x14ac:dyDescent="0.25">
      <c r="A6" s="1" t="s">
        <v>19</v>
      </c>
      <c r="B6">
        <v>160601</v>
      </c>
      <c r="C6">
        <v>102712.90338556199</v>
      </c>
      <c r="D6">
        <v>8.9608994553003696E-2</v>
      </c>
      <c r="E6">
        <v>6475</v>
      </c>
      <c r="F6">
        <v>2945.9154223937999</v>
      </c>
      <c r="G6">
        <v>263.98051903889501</v>
      </c>
    </row>
    <row r="7" spans="1:7" x14ac:dyDescent="0.25">
      <c r="A7" s="1" t="s">
        <v>20</v>
      </c>
      <c r="B7">
        <v>79315</v>
      </c>
      <c r="C7">
        <v>35790.321014965601</v>
      </c>
      <c r="D7">
        <v>0.10916359197690099</v>
      </c>
      <c r="E7">
        <v>2986</v>
      </c>
      <c r="F7">
        <v>2301.0799732083101</v>
      </c>
      <c r="G7">
        <v>251.19415530153</v>
      </c>
    </row>
    <row r="8" spans="1:7" x14ac:dyDescent="0.25">
      <c r="A8" s="1" t="s">
        <v>21</v>
      </c>
      <c r="B8">
        <v>69791</v>
      </c>
      <c r="C8">
        <v>30208.641954402599</v>
      </c>
      <c r="D8">
        <v>0.131684171900361</v>
      </c>
      <c r="E8">
        <v>2591</v>
      </c>
      <c r="F8">
        <v>1761.18172906215</v>
      </c>
      <c r="G8">
        <v>231.91975755759401</v>
      </c>
    </row>
    <row r="9" spans="1:7" x14ac:dyDescent="0.25">
      <c r="A9" s="1" t="s">
        <v>22</v>
      </c>
      <c r="B9">
        <v>1326</v>
      </c>
      <c r="C9">
        <v>564.01294632599797</v>
      </c>
      <c r="D9">
        <v>0.101061509972954</v>
      </c>
      <c r="E9">
        <v>38</v>
      </c>
      <c r="F9">
        <v>2014.0555263157901</v>
      </c>
      <c r="G9">
        <v>203.54349265884599</v>
      </c>
    </row>
    <row r="10" spans="1:7" x14ac:dyDescent="0.25">
      <c r="A10" s="1" t="s">
        <v>23</v>
      </c>
      <c r="B10">
        <v>42122</v>
      </c>
      <c r="C10">
        <v>27753.4636746131</v>
      </c>
      <c r="D10">
        <v>9.7357217523504805E-2</v>
      </c>
      <c r="E10">
        <v>1871</v>
      </c>
      <c r="F10">
        <v>2085.00868519509</v>
      </c>
      <c r="G10">
        <v>202.99064410293499</v>
      </c>
    </row>
    <row r="11" spans="1:7" x14ac:dyDescent="0.25">
      <c r="A11" s="1" t="s">
        <v>24</v>
      </c>
      <c r="B11">
        <v>35805</v>
      </c>
      <c r="C11">
        <v>14736.1041769285</v>
      </c>
      <c r="D11">
        <v>0.104980256750767</v>
      </c>
      <c r="E11">
        <v>1068</v>
      </c>
      <c r="F11">
        <v>1901.60213483146</v>
      </c>
      <c r="G11">
        <v>199.63068035241301</v>
      </c>
    </row>
    <row r="12" spans="1:7" x14ac:dyDescent="0.25">
      <c r="A12" s="1" t="s">
        <v>25</v>
      </c>
      <c r="B12">
        <v>10893</v>
      </c>
      <c r="C12">
        <v>6657.9011422899102</v>
      </c>
      <c r="D12">
        <v>9.50750073441744E-2</v>
      </c>
      <c r="E12">
        <v>452</v>
      </c>
      <c r="F12">
        <v>2057.1843141592899</v>
      </c>
      <c r="G12">
        <v>195.58681377701501</v>
      </c>
    </row>
    <row r="13" spans="1:7" x14ac:dyDescent="0.25">
      <c r="A13" s="1" t="s">
        <v>26</v>
      </c>
      <c r="B13">
        <v>10492</v>
      </c>
      <c r="C13">
        <v>5025.3586091589405</v>
      </c>
      <c r="D13">
        <v>0.101684285588829</v>
      </c>
      <c r="E13">
        <v>345</v>
      </c>
      <c r="F13">
        <v>1844.3421449275399</v>
      </c>
      <c r="G13">
        <v>187.54061338832599</v>
      </c>
    </row>
    <row r="14" spans="1:7" x14ac:dyDescent="0.25">
      <c r="A14" s="1" t="s">
        <v>27</v>
      </c>
      <c r="B14">
        <v>40275</v>
      </c>
      <c r="C14">
        <v>19611.7522411436</v>
      </c>
      <c r="D14">
        <v>9.1118834157564096E-2</v>
      </c>
      <c r="E14">
        <v>1412</v>
      </c>
      <c r="F14">
        <v>1890.2202691218099</v>
      </c>
      <c r="G14">
        <v>172.23466722337599</v>
      </c>
    </row>
    <row r="15" spans="1:7" x14ac:dyDescent="0.25">
      <c r="A15" s="1" t="s">
        <v>28</v>
      </c>
      <c r="B15">
        <v>31329</v>
      </c>
      <c r="C15">
        <v>14322.166692078999</v>
      </c>
      <c r="D15">
        <v>9.4119837380857205E-2</v>
      </c>
      <c r="E15">
        <v>1055</v>
      </c>
      <c r="F15">
        <v>1816.2450616113699</v>
      </c>
      <c r="G15">
        <v>170.94468984264699</v>
      </c>
    </row>
    <row r="16" spans="1:7" x14ac:dyDescent="0.25">
      <c r="A16" s="1" t="s">
        <v>29</v>
      </c>
      <c r="B16">
        <v>4567</v>
      </c>
      <c r="C16">
        <v>2395.99454224799</v>
      </c>
      <c r="D16">
        <v>0.10809707427672099</v>
      </c>
      <c r="E16">
        <v>197</v>
      </c>
      <c r="F16">
        <v>1422.76720812183</v>
      </c>
      <c r="G16">
        <v>153.796972574829</v>
      </c>
    </row>
    <row r="17" spans="1:7" x14ac:dyDescent="0.25">
      <c r="A17" s="1" t="s">
        <v>30</v>
      </c>
      <c r="B17">
        <v>38751</v>
      </c>
      <c r="C17">
        <v>21934.031164713699</v>
      </c>
      <c r="D17">
        <v>9.1638421816121807E-2</v>
      </c>
      <c r="E17">
        <v>1576</v>
      </c>
      <c r="F17">
        <v>1631.3229251268999</v>
      </c>
      <c r="G17">
        <v>149.49185833108899</v>
      </c>
    </row>
    <row r="18" spans="1:7" x14ac:dyDescent="0.25">
      <c r="A18" s="1" t="s">
        <v>31</v>
      </c>
      <c r="B18">
        <v>2200</v>
      </c>
      <c r="C18">
        <v>1209.1158230379999</v>
      </c>
      <c r="D18">
        <v>0.109997733439487</v>
      </c>
      <c r="E18">
        <v>92</v>
      </c>
      <c r="F18">
        <v>1319.83684782609</v>
      </c>
      <c r="G18">
        <v>145.179061770787</v>
      </c>
    </row>
    <row r="19" spans="1:7" x14ac:dyDescent="0.25">
      <c r="A19" s="1" t="s">
        <v>32</v>
      </c>
      <c r="B19">
        <v>17141</v>
      </c>
      <c r="C19">
        <v>7020.1085545184396</v>
      </c>
      <c r="D19">
        <v>9.8004182507573007E-2</v>
      </c>
      <c r="E19">
        <v>369</v>
      </c>
      <c r="F19">
        <v>1461.7486991869901</v>
      </c>
      <c r="G19">
        <v>143.25748629532899</v>
      </c>
    </row>
    <row r="20" spans="1:7" x14ac:dyDescent="0.25">
      <c r="A20" s="1" t="s">
        <v>33</v>
      </c>
      <c r="B20">
        <v>8784</v>
      </c>
      <c r="C20">
        <v>3177.6821812918502</v>
      </c>
      <c r="D20">
        <v>9.5352518821381502E-2</v>
      </c>
      <c r="E20">
        <v>220</v>
      </c>
      <c r="F20">
        <v>1488.6071818181799</v>
      </c>
      <c r="G20">
        <v>141.942444321962</v>
      </c>
    </row>
    <row r="21" spans="1:7" x14ac:dyDescent="0.25">
      <c r="A21" s="1" t="s">
        <v>34</v>
      </c>
      <c r="B21">
        <v>19046</v>
      </c>
      <c r="C21">
        <v>11163.4087154432</v>
      </c>
      <c r="D21">
        <v>8.6711865942961805E-2</v>
      </c>
      <c r="E21">
        <v>800</v>
      </c>
      <c r="F21">
        <v>1631.3847249999999</v>
      </c>
      <c r="G21">
        <v>141.46041357559599</v>
      </c>
    </row>
    <row r="22" spans="1:7" x14ac:dyDescent="0.25">
      <c r="A22" s="1" t="s">
        <v>35</v>
      </c>
      <c r="B22">
        <v>5287</v>
      </c>
      <c r="C22">
        <v>2322.8842286039799</v>
      </c>
      <c r="D22">
        <v>8.1364364901468506E-2</v>
      </c>
      <c r="E22">
        <v>141</v>
      </c>
      <c r="F22">
        <v>1304.7860283687901</v>
      </c>
      <c r="G22">
        <v>106.16308653053601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20B6-C406-459F-BB02-5058A6C2AC7D}">
  <dimension ref="A1:D2"/>
  <sheetViews>
    <sheetView workbookViewId="0"/>
  </sheetViews>
  <sheetFormatPr defaultRowHeight="15" x14ac:dyDescent="0.25"/>
  <cols>
    <col min="1" max="1" width="20" bestFit="1" customWidth="1"/>
    <col min="2" max="2" width="27.5703125" bestFit="1" customWidth="1"/>
    <col min="3" max="3" width="25" bestFit="1" customWidth="1"/>
    <col min="4" max="4" width="26.140625" bestFit="1" customWidth="1"/>
  </cols>
  <sheetData>
    <row r="1" spans="1:4" x14ac:dyDescent="0.25">
      <c r="A1" t="s">
        <v>9</v>
      </c>
      <c r="B1" t="s">
        <v>42</v>
      </c>
      <c r="C1" t="s">
        <v>43</v>
      </c>
      <c r="D1" t="s">
        <v>44</v>
      </c>
    </row>
    <row r="2" spans="1:4" x14ac:dyDescent="0.25">
      <c r="A2">
        <v>2265.51264937224</v>
      </c>
      <c r="B2">
        <v>1999.9089343518101</v>
      </c>
      <c r="C2">
        <v>265.60371502043103</v>
      </c>
      <c r="D2">
        <v>7023624.6400002604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190D-6DBA-4A6A-B26E-455F423730FF}">
  <dimension ref="A1:B11"/>
  <sheetViews>
    <sheetView workbookViewId="0">
      <selection activeCell="B5" sqref="B5"/>
    </sheetView>
  </sheetViews>
  <sheetFormatPr defaultRowHeight="15" x14ac:dyDescent="0.25"/>
  <cols>
    <col min="1" max="1" width="34.42578125" bestFit="1" customWidth="1"/>
    <col min="2" max="2" width="12" bestFit="1" customWidth="1"/>
  </cols>
  <sheetData>
    <row r="1" spans="1:2" x14ac:dyDescent="0.25">
      <c r="A1" t="s">
        <v>50</v>
      </c>
      <c r="B1" t="s">
        <v>51</v>
      </c>
    </row>
    <row r="2" spans="1:2" x14ac:dyDescent="0.25">
      <c r="A2" t="s">
        <v>40</v>
      </c>
      <c r="B2" s="7">
        <f>SUM(age_frequency[total_policies])</f>
        <v>678013</v>
      </c>
    </row>
    <row r="3" spans="1:2" x14ac:dyDescent="0.25">
      <c r="A3" t="s">
        <v>41</v>
      </c>
      <c r="B3" s="2">
        <f xml:space="preserve"> SUM(age_frequency[total_claims]) / SUM(age_frequency[total_exposure])</f>
        <v>0.10070308464061585</v>
      </c>
    </row>
    <row r="4" spans="1:2" x14ac:dyDescent="0.25">
      <c r="A4" t="s">
        <v>38</v>
      </c>
      <c r="B4" s="5">
        <f>SUMPRODUCT(age_severity[avg_claim_amount], age_severity[total_claims])/SUM(age_severity[total_claims])</f>
        <v>2265.5126493722637</v>
      </c>
    </row>
    <row r="5" spans="1:2" x14ac:dyDescent="0.25">
      <c r="A5" t="s">
        <v>39</v>
      </c>
      <c r="B5" s="2">
        <f>(B9-B10)/B9</f>
        <v>0.11723629558024468</v>
      </c>
    </row>
    <row r="6" spans="1:2" x14ac:dyDescent="0.25">
      <c r="A6" s="8" t="s">
        <v>49</v>
      </c>
      <c r="B6" s="5">
        <v>5838.56</v>
      </c>
    </row>
    <row r="7" spans="1:2" x14ac:dyDescent="0.25">
      <c r="A7" t="s">
        <v>47</v>
      </c>
      <c r="B7" s="9">
        <v>2319.19</v>
      </c>
    </row>
    <row r="8" spans="1:2" x14ac:dyDescent="0.25">
      <c r="A8" t="s">
        <v>48</v>
      </c>
      <c r="B8" s="11">
        <v>250000</v>
      </c>
    </row>
    <row r="9" spans="1:2" x14ac:dyDescent="0.25">
      <c r="A9" t="s">
        <v>45</v>
      </c>
      <c r="B9" s="9">
        <v>2265.5100000000002</v>
      </c>
    </row>
    <row r="10" spans="1:2" x14ac:dyDescent="0.25">
      <c r="A10" t="s">
        <v>46</v>
      </c>
      <c r="B10" s="10">
        <v>1999.91</v>
      </c>
    </row>
    <row r="11" spans="1:2" x14ac:dyDescent="0.25">
      <c r="A11" t="s">
        <v>52</v>
      </c>
      <c r="B11" s="5">
        <f>B6-B7</f>
        <v>3519.3700000000003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2963-ACF7-48AD-9D1E-CF71F13E0EC4}">
  <dimension ref="A1:B6"/>
  <sheetViews>
    <sheetView workbookViewId="0">
      <selection activeCell="B12" sqref="B12"/>
    </sheetView>
  </sheetViews>
  <sheetFormatPr defaultRowHeight="15" x14ac:dyDescent="0.25"/>
  <cols>
    <col min="1" max="1" width="19.85546875" bestFit="1" customWidth="1"/>
    <col min="2" max="2" width="19.42578125" bestFit="1" customWidth="1"/>
  </cols>
  <sheetData>
    <row r="1" spans="1:2" x14ac:dyDescent="0.25">
      <c r="A1" s="3" t="s">
        <v>36</v>
      </c>
      <c r="B1" t="s">
        <v>37</v>
      </c>
    </row>
    <row r="2" spans="1:2" x14ac:dyDescent="0.25">
      <c r="A2" s="4" t="s">
        <v>15</v>
      </c>
      <c r="B2" s="1">
        <v>829.30039819772196</v>
      </c>
    </row>
    <row r="3" spans="1:2" x14ac:dyDescent="0.25">
      <c r="A3" s="4" t="s">
        <v>16</v>
      </c>
      <c r="B3" s="1">
        <v>492.278765793547</v>
      </c>
    </row>
    <row r="4" spans="1:2" x14ac:dyDescent="0.25">
      <c r="A4" s="4" t="s">
        <v>17</v>
      </c>
      <c r="B4" s="1">
        <v>269.43949690976501</v>
      </c>
    </row>
    <row r="5" spans="1:2" x14ac:dyDescent="0.25">
      <c r="A5" s="4" t="s">
        <v>18</v>
      </c>
      <c r="B5" s="1">
        <v>268.95650631540201</v>
      </c>
    </row>
    <row r="6" spans="1:2" x14ac:dyDescent="0.25">
      <c r="A6" s="4" t="s">
        <v>19</v>
      </c>
      <c r="B6" s="1">
        <v>263.98051903889501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588516-5DB8-4B31-9780-268283519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Age_Frequency</vt:lpstr>
      <vt:lpstr>Age_Severity</vt:lpstr>
      <vt:lpstr>Regional_Risk</vt:lpstr>
      <vt:lpstr>Tail_Risk</vt:lpstr>
      <vt:lpstr>KPI_Data</vt:lpstr>
      <vt:lpstr>Regional_Pivot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Gennette, Zackary Caspillo</dc:creator>
  <cp:lastModifiedBy>Gennette, Zackary Caspillo</cp:lastModifiedBy>
  <dcterms:created xsi:type="dcterms:W3CDTF">2026-10-15T20:31:59Z</dcterms:created>
  <dcterms:modified xsi:type="dcterms:W3CDTF">2026-10-18T05:50:52Z</dcterms:modified>
</cp:coreProperties>
</file>